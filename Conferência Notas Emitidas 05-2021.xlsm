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Fiscal_20\Documents\gicon_automation\"/>
    </mc:Choice>
  </mc:AlternateContent>
  <bookViews>
    <workbookView xWindow="0" yWindow="0" windowWidth="16380" windowHeight="8190" tabRatio="500"/>
  </bookViews>
  <sheets>
    <sheet name="Plan1" sheetId="1" r:id="rId1"/>
  </sheets>
  <calcPr calcId="152511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24" i="1" l="1"/>
  <c r="E24" i="1"/>
  <c r="C24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24" i="1" s="1"/>
</calcChain>
</file>

<file path=xl/sharedStrings.xml><?xml version="1.0" encoding="utf-8"?>
<sst xmlns="http://schemas.openxmlformats.org/spreadsheetml/2006/main" count="15" uniqueCount="15">
  <si>
    <t>Notas Emitidas</t>
  </si>
  <si>
    <t>Mês:</t>
  </si>
  <si>
    <t>MAIO/2021</t>
  </si>
  <si>
    <t>Nº Nota</t>
  </si>
  <si>
    <t>Data</t>
  </si>
  <si>
    <t>Valor Bruto</t>
  </si>
  <si>
    <t>Valor ISS 2%</t>
  </si>
  <si>
    <t>Valor IRRF 1,2%</t>
  </si>
  <si>
    <t>Valor IRRF 1,5%</t>
  </si>
  <si>
    <t>Valor IRRF 4,8%</t>
  </si>
  <si>
    <t>Valor CSRF 4,65%</t>
  </si>
  <si>
    <t>Valor Liquido</t>
  </si>
  <si>
    <t xml:space="preserve">  </t>
  </si>
  <si>
    <t>Erro IR corrigido</t>
  </si>
  <si>
    <t>Não retem ISS?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</si>
</sst>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;@"/>
    <numFmt numFmtId="165" formatCode="_-* #,##0.00_-;\-* #,##0.00_-;_-* \-??_-;_-@_-"/>
    <numFmt numFmtId="166" formatCode="_-&quot;R$ &quot;* #,##0.00_-;&quot;-R$ &quot;* #,##0.00_-;_-&quot;R$ &quot;* \-??_-;_-@_-"/>
  </numFmts>
  <fonts count="5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1"/>
      <color rgb="FF000000"/>
      <name val="Calibri"/>
      <charset val="1"/>
    </font>
    <font>
      <sz val="11"/>
      <color rgb="FF000000"/>
      <name val="Calibri"/>
      <charset val="1"/>
    </font>
    <font>
      <sz val="11"/>
      <color rgb="FF000000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165" fontId="4" fillId="0" borderId="0" applyBorder="0" applyProtection="0"/>
    <xf numFmtId="166" fontId="4" fillId="0" borderId="0" applyBorder="0" applyProtection="0"/>
  </cellStyleXfs>
  <cellXfs count="20">
    <xf numFmtId="0" fontId="0" fillId="0" borderId="0" xfId="0"/>
    <xf numFmtId="0" fontId="1" fillId="0" borderId="1" xfId="0" applyFont="1" applyBorder="1" applyAlignment="1">
      <alignment horizontal="center" vertical="center"/>
    </xf>
    <xf numFmtId="164" fontId="0" fillId="0" borderId="0" xfId="0" applyNumberFormat="1"/>
    <xf numFmtId="165" fontId="0" fillId="0" borderId="0" xfId="1" applyFont="1" applyBorder="1" applyAlignment="1" applyProtection="1"/>
    <xf numFmtId="165" fontId="0" fillId="0" borderId="0" xfId="1" applyFont="1" applyBorder="1" applyAlignment="1" applyProtection="1">
      <alignment vertical="center"/>
    </xf>
    <xf numFmtId="165" fontId="0" fillId="0" borderId="2" xfId="1" applyFont="1" applyBorder="1" applyAlignment="1" applyProtection="1">
      <alignment horizontal="center" vertical="center"/>
    </xf>
    <xf numFmtId="49" fontId="1" fillId="2" borderId="3" xfId="1" applyNumberFormat="1" applyFont="1" applyFill="1" applyBorder="1" applyAlignment="1" applyProtection="1">
      <alignment horizontal="center" vertical="center"/>
    </xf>
    <xf numFmtId="0" fontId="0" fillId="0" borderId="0" xfId="1" applyNumberFormat="1" applyFont="1" applyBorder="1" applyAlignment="1" applyProtection="1"/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6" fontId="0" fillId="0" borderId="0" xfId="2" applyFont="1" applyBorder="1" applyAlignment="1" applyProtection="1"/>
    <xf numFmtId="166" fontId="1" fillId="0" borderId="0" xfId="2" applyFont="1" applyBorder="1" applyAlignment="1" applyProtection="1"/>
    <xf numFmtId="166" fontId="3" fillId="0" borderId="0" xfId="2" applyFont="1" applyBorder="1" applyAlignment="1" applyProtection="1"/>
    <xf numFmtId="0" fontId="0" fillId="0" borderId="0" xfId="0" applyFont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166" fontId="3" fillId="0" borderId="0" xfId="0" applyNumberFormat="1" applyFont="1"/>
  </cellXfs>
  <cellStyles count="3">
    <cellStyle name="Moeda" xfId="2" builtinId="4"/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ela1" displayName="Tabela1" ref="A3:I31" totalsRowCount="1">
  <autoFilter ref="A3:I30"/>
  <tableColumns count="9">
    <tableColumn id="1" name="Nº Nota"/>
    <tableColumn id="2" name="Data"/>
    <tableColumn id="3" name="Valor Bruto"/>
    <tableColumn id="4" name="Valor ISS 2%"/>
    <tableColumn id="5" name="Valor IRRF 1,2%"/>
    <tableColumn id="6" name="Valor IRRF 1,5%"/>
    <tableColumn id="7" name="Valor IRRF 4,8%"/>
    <tableColumn id="8" name="Valor CSRF 4,65%"/>
    <tableColumn id="9" name="Valor Liquido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tabSelected="1" zoomScaleNormal="100" workbookViewId="0">
      <selection activeCell="E24" sqref="E24"/>
    </sheetView>
  </sheetViews>
  <sheetFormatPr defaultColWidth="10.140625" defaultRowHeight="15" x14ac:dyDescent="0.25"/>
  <cols>
    <col min="1" max="1" width="13.28515625" customWidth="1"/>
    <col min="2" max="2" width="15.28515625" style="2" customWidth="1"/>
    <col min="3" max="7" width="17.7109375" style="3" customWidth="1"/>
    <col min="8" max="8" width="20.42578125" style="3" customWidth="1"/>
    <col min="9" max="9" width="18.85546875" style="3" customWidth="1"/>
  </cols>
  <sheetData>
    <row r="1" spans="1:13" x14ac:dyDescent="0.25">
      <c r="A1" s="1" t="s">
        <v>0</v>
      </c>
      <c r="B1" s="1"/>
      <c r="C1" s="4"/>
      <c r="D1" s="5" t="s">
        <v>1</v>
      </c>
      <c r="E1" s="6" t="s">
        <v>2</v>
      </c>
    </row>
    <row r="2" spans="1:13" x14ac:dyDescent="0.25">
      <c r="E2" s="7"/>
    </row>
    <row r="3" spans="1:13" s="11" customFormat="1" x14ac:dyDescent="0.25">
      <c r="A3" s="8" t="s">
        <v>3</v>
      </c>
      <c r="B3" s="9" t="s">
        <v>4</v>
      </c>
      <c r="C3" s="10" t="s">
        <v>5</v>
      </c>
      <c r="D3" s="10" t="s">
        <v>6</v>
      </c>
      <c r="E3" s="10" t="s">
        <v>7</v>
      </c>
      <c r="F3" s="10" t="s">
        <v>8</v>
      </c>
      <c r="G3" s="10" t="s">
        <v>9</v>
      </c>
      <c r="H3" s="10" t="s">
        <v>10</v>
      </c>
      <c r="I3" s="10" t="s">
        <v>11</v>
      </c>
    </row>
    <row r="4" spans="1:13" x14ac:dyDescent="0.25">
      <c r="A4" s="12">
        <v>878</v>
      </c>
      <c r="B4" s="13">
        <v>44319</v>
      </c>
      <c r="C4" s="14">
        <v>72164.89</v>
      </c>
      <c r="D4" s="14">
        <v>1443.3</v>
      </c>
      <c r="E4" s="14"/>
      <c r="F4" s="14">
        <v>1082.47</v>
      </c>
      <c r="G4" s="14"/>
      <c r="H4" s="14"/>
      <c r="I4" s="15">
        <f t="shared" ref="I4:I22" si="0">SUM(C4-D4-E4-F4-G4-H4)</f>
        <v>69639.12</v>
      </c>
    </row>
    <row r="5" spans="1:13" x14ac:dyDescent="0.25">
      <c r="A5" s="12">
        <v>879</v>
      </c>
      <c r="B5" s="13">
        <v>44319</v>
      </c>
      <c r="C5" s="16">
        <v>216206.78</v>
      </c>
      <c r="D5" s="16">
        <v>4324.1400000000003</v>
      </c>
      <c r="E5" s="16"/>
      <c r="F5" s="16">
        <v>3243.1</v>
      </c>
      <c r="G5" s="16"/>
      <c r="H5" s="16"/>
      <c r="I5" s="15">
        <f t="shared" si="0"/>
        <v>208639.53999999998</v>
      </c>
    </row>
    <row r="6" spans="1:13" x14ac:dyDescent="0.25">
      <c r="A6" s="17">
        <v>880</v>
      </c>
      <c r="B6" s="18">
        <v>44319</v>
      </c>
      <c r="C6" s="16">
        <v>7024</v>
      </c>
      <c r="D6" s="16">
        <v>140.47999999999999</v>
      </c>
      <c r="E6" s="16"/>
      <c r="F6" s="16">
        <v>105.36</v>
      </c>
      <c r="G6" s="16"/>
      <c r="H6" s="16"/>
      <c r="I6" s="15">
        <f t="shared" si="0"/>
        <v>6778.1600000000008</v>
      </c>
      <c r="M6" t="s">
        <v>12</v>
      </c>
    </row>
    <row r="7" spans="1:13" x14ac:dyDescent="0.25">
      <c r="A7" s="12">
        <v>881</v>
      </c>
      <c r="B7" s="13">
        <v>44319</v>
      </c>
      <c r="C7" s="16">
        <v>1782.57</v>
      </c>
      <c r="D7" s="16"/>
      <c r="E7" s="16"/>
      <c r="F7" s="16">
        <v>26.74</v>
      </c>
      <c r="G7" s="16"/>
      <c r="H7" s="16">
        <v>82.9</v>
      </c>
      <c r="I7" s="15">
        <f t="shared" si="0"/>
        <v>1672.9299999999998</v>
      </c>
    </row>
    <row r="8" spans="1:13" x14ac:dyDescent="0.25">
      <c r="A8" s="12">
        <v>882</v>
      </c>
      <c r="B8" s="13">
        <v>44319</v>
      </c>
      <c r="C8" s="16">
        <v>3291.95</v>
      </c>
      <c r="D8" s="16"/>
      <c r="E8" s="16"/>
      <c r="F8" s="16">
        <v>49.38</v>
      </c>
      <c r="G8" s="16"/>
      <c r="H8" s="16">
        <v>153.08000000000001</v>
      </c>
      <c r="I8" s="15">
        <f t="shared" si="0"/>
        <v>3089.49</v>
      </c>
    </row>
    <row r="9" spans="1:13" x14ac:dyDescent="0.25">
      <c r="A9" s="12">
        <v>883</v>
      </c>
      <c r="B9" s="13">
        <v>44320</v>
      </c>
      <c r="C9" s="14">
        <v>13282.8</v>
      </c>
      <c r="D9" s="14">
        <v>265.66000000000003</v>
      </c>
      <c r="E9" s="14"/>
      <c r="F9" s="14">
        <v>199.24</v>
      </c>
      <c r="G9" s="14"/>
      <c r="H9" s="14"/>
      <c r="I9" s="15">
        <f t="shared" si="0"/>
        <v>12817.9</v>
      </c>
    </row>
    <row r="10" spans="1:13" x14ac:dyDescent="0.25">
      <c r="A10" s="12">
        <v>884</v>
      </c>
      <c r="B10" s="13">
        <v>44320</v>
      </c>
      <c r="C10" s="14">
        <v>20</v>
      </c>
      <c r="D10" s="14">
        <v>0.4</v>
      </c>
      <c r="E10" s="14"/>
      <c r="F10" s="14">
        <v>0.3</v>
      </c>
      <c r="G10" s="14"/>
      <c r="H10" s="14"/>
      <c r="I10" s="15">
        <f t="shared" si="0"/>
        <v>19.3</v>
      </c>
    </row>
    <row r="11" spans="1:13" x14ac:dyDescent="0.25">
      <c r="A11" s="12">
        <v>885</v>
      </c>
      <c r="B11" s="13">
        <v>44321</v>
      </c>
      <c r="C11" s="14">
        <v>900</v>
      </c>
      <c r="D11" s="14"/>
      <c r="E11" s="14"/>
      <c r="F11" s="14"/>
      <c r="G11" s="14"/>
      <c r="H11" s="14">
        <v>41.85</v>
      </c>
      <c r="I11" s="15">
        <f t="shared" si="0"/>
        <v>858.15</v>
      </c>
    </row>
    <row r="12" spans="1:13" x14ac:dyDescent="0.25">
      <c r="A12" s="12">
        <v>886</v>
      </c>
      <c r="B12" s="13">
        <v>44329</v>
      </c>
      <c r="C12" s="14">
        <v>250</v>
      </c>
      <c r="D12" s="14"/>
      <c r="E12" s="14"/>
      <c r="F12" s="14"/>
      <c r="G12" s="14"/>
      <c r="H12" s="14">
        <v>11.63</v>
      </c>
      <c r="I12" s="15">
        <f t="shared" si="0"/>
        <v>238.37</v>
      </c>
      <c r="K12" t="s">
        <v>14</v>
      </c>
    </row>
    <row r="13" spans="1:13" x14ac:dyDescent="0.25">
      <c r="A13" s="12">
        <v>887</v>
      </c>
      <c r="B13" s="13">
        <v>44333</v>
      </c>
      <c r="C13" s="14">
        <v>7850</v>
      </c>
      <c r="D13" s="14"/>
      <c r="E13" s="14"/>
      <c r="F13" s="14">
        <v>117.75</v>
      </c>
      <c r="G13" s="14"/>
      <c r="H13" s="14">
        <v>365.03</v>
      </c>
      <c r="I13" s="15">
        <f t="shared" si="0"/>
        <v>7367.22</v>
      </c>
    </row>
    <row r="14" spans="1:13" x14ac:dyDescent="0.25">
      <c r="A14" s="12">
        <v>888</v>
      </c>
      <c r="B14" s="13">
        <v>44336</v>
      </c>
      <c r="C14" s="14">
        <v>729.22</v>
      </c>
      <c r="D14" s="14"/>
      <c r="E14" s="14"/>
      <c r="F14" s="14">
        <v>10.94</v>
      </c>
      <c r="G14" s="14"/>
      <c r="H14" s="14">
        <v>33.909999999999997</v>
      </c>
      <c r="I14" s="15">
        <f t="shared" si="0"/>
        <v>684.37</v>
      </c>
      <c r="K14" t="s">
        <v>13</v>
      </c>
    </row>
    <row r="15" spans="1:13" x14ac:dyDescent="0.25">
      <c r="A15" s="12">
        <v>889</v>
      </c>
      <c r="B15" s="13">
        <v>44336</v>
      </c>
      <c r="C15" s="14">
        <v>202.36</v>
      </c>
      <c r="D15" s="14"/>
      <c r="E15" s="14"/>
      <c r="F15" s="14"/>
      <c r="G15" s="14"/>
      <c r="H15" s="14"/>
      <c r="I15" s="15">
        <f t="shared" si="0"/>
        <v>202.36</v>
      </c>
    </row>
    <row r="16" spans="1:13" x14ac:dyDescent="0.25">
      <c r="A16" s="12">
        <v>890</v>
      </c>
      <c r="B16" s="13">
        <v>44347</v>
      </c>
      <c r="C16" s="14">
        <v>2882.3</v>
      </c>
      <c r="D16" s="14"/>
      <c r="E16" s="14"/>
      <c r="F16" s="14">
        <v>43.23</v>
      </c>
      <c r="G16" s="14"/>
      <c r="H16" s="14">
        <v>134.02000000000001</v>
      </c>
      <c r="I16" s="15">
        <f t="shared" si="0"/>
        <v>2705.05</v>
      </c>
    </row>
    <row r="17" spans="1:9" x14ac:dyDescent="0.25">
      <c r="A17" s="12">
        <v>891</v>
      </c>
      <c r="B17" s="13">
        <v>44347</v>
      </c>
      <c r="C17" s="14">
        <v>35141.33</v>
      </c>
      <c r="D17" s="14">
        <v>702.83</v>
      </c>
      <c r="E17" s="14"/>
      <c r="F17" s="14">
        <v>527.11</v>
      </c>
      <c r="G17" s="14"/>
      <c r="H17" s="14">
        <v>1634.05</v>
      </c>
      <c r="I17" s="15">
        <f t="shared" si="0"/>
        <v>32277.34</v>
      </c>
    </row>
    <row r="18" spans="1:9" x14ac:dyDescent="0.25">
      <c r="A18" s="12"/>
      <c r="B18" s="13"/>
      <c r="C18" s="14"/>
      <c r="D18" s="14"/>
      <c r="E18" s="14"/>
      <c r="F18" s="14"/>
      <c r="G18" s="14"/>
      <c r="H18" s="14"/>
      <c r="I18" s="15">
        <f t="shared" si="0"/>
        <v>0</v>
      </c>
    </row>
    <row r="19" spans="1:9" x14ac:dyDescent="0.25">
      <c r="A19" s="12"/>
      <c r="B19" s="13"/>
      <c r="C19" s="14"/>
      <c r="D19" s="14"/>
      <c r="E19" s="14"/>
      <c r="F19" s="14"/>
      <c r="G19" s="14"/>
      <c r="H19" s="14"/>
      <c r="I19" s="15">
        <f t="shared" si="0"/>
        <v>0</v>
      </c>
    </row>
    <row r="20" spans="1:9" x14ac:dyDescent="0.25">
      <c r="A20" s="12"/>
      <c r="B20" s="13"/>
      <c r="C20" s="14"/>
      <c r="D20" s="14"/>
      <c r="E20" s="14"/>
      <c r="F20" s="14"/>
      <c r="G20" s="14"/>
      <c r="H20" s="14"/>
      <c r="I20" s="15">
        <f t="shared" si="0"/>
        <v>0</v>
      </c>
    </row>
    <row r="21" spans="1:9" x14ac:dyDescent="0.25">
      <c r="A21" s="12"/>
      <c r="B21" s="13"/>
      <c r="C21" s="14"/>
      <c r="D21" s="14"/>
      <c r="E21" s="14"/>
      <c r="F21" s="14"/>
      <c r="G21" s="14"/>
      <c r="H21" s="14"/>
      <c r="I21" s="15">
        <f t="shared" si="0"/>
        <v>0</v>
      </c>
    </row>
    <row r="22" spans="1:9" x14ac:dyDescent="0.25">
      <c r="A22" s="12"/>
      <c r="B22" s="13"/>
      <c r="C22" s="14"/>
      <c r="D22" s="14"/>
      <c r="E22" s="14"/>
      <c r="F22" s="14"/>
      <c r="G22" s="14"/>
      <c r="H22" s="14"/>
      <c r="I22" s="15">
        <f t="shared" si="0"/>
        <v>0</v>
      </c>
    </row>
    <row r="23" spans="1:9" x14ac:dyDescent="0.25">
      <c r="A23" s="12"/>
      <c r="B23" s="13"/>
      <c r="C23" s="16"/>
      <c r="D23" s="16"/>
      <c r="E23" s="16"/>
      <c r="F23" s="16"/>
      <c r="G23" s="16"/>
      <c r="H23" s="16"/>
      <c r="I23" s="15"/>
    </row>
    <row r="24" spans="1:9" x14ac:dyDescent="0.25">
      <c r="A24" s="12"/>
      <c r="B24" s="13"/>
      <c r="C24" s="16">
        <f>SUBTOTAL(9,C4:C23)</f>
        <v>361728.19999999995</v>
      </c>
      <c r="D24" s="16"/>
      <c r="E24" s="16">
        <f>SUBTOTAL(9,E4:E23)</f>
        <v>0</v>
      </c>
      <c r="F24" s="16"/>
      <c r="G24" s="16">
        <f>SUBTOTAL(9,G4:G23)</f>
        <v>0</v>
      </c>
      <c r="H24" s="16"/>
      <c r="I24" s="16">
        <f>SUBTOTAL(9,I4:I23)</f>
        <v>346989.29999999993</v>
      </c>
    </row>
    <row r="25" spans="1:9" x14ac:dyDescent="0.25">
      <c r="A25" s="12"/>
      <c r="B25" s="13"/>
      <c r="C25" s="16"/>
      <c r="D25" s="16"/>
      <c r="E25" s="16"/>
      <c r="F25" s="16"/>
      <c r="G25" s="16"/>
      <c r="H25" s="16"/>
      <c r="I25" s="15"/>
    </row>
    <row r="26" spans="1:9" x14ac:dyDescent="0.25">
      <c r="A26" s="12"/>
      <c r="B26" s="13"/>
      <c r="C26" s="16"/>
      <c r="D26" s="16"/>
      <c r="E26" s="16"/>
      <c r="F26" s="16"/>
      <c r="G26" s="16"/>
      <c r="H26" s="16"/>
      <c r="I26" s="15"/>
    </row>
    <row r="27" spans="1:9" x14ac:dyDescent="0.25">
      <c r="A27" s="12"/>
      <c r="B27" s="13"/>
      <c r="C27" s="16"/>
      <c r="D27" s="16"/>
      <c r="E27" s="16"/>
      <c r="F27" s="16"/>
      <c r="G27" s="16"/>
      <c r="H27" s="16"/>
      <c r="I27" s="15"/>
    </row>
    <row r="28" spans="1:9" x14ac:dyDescent="0.25">
      <c r="A28" s="12"/>
      <c r="B28" s="13"/>
      <c r="C28" s="16"/>
      <c r="D28" s="16"/>
      <c r="E28" s="16"/>
      <c r="F28" s="16"/>
      <c r="G28" s="16"/>
      <c r="H28" s="16"/>
      <c r="I28" s="15"/>
    </row>
    <row r="29" spans="1:9" x14ac:dyDescent="0.25">
      <c r="A29" s="12"/>
      <c r="B29" s="13"/>
      <c r="C29" s="16"/>
      <c r="D29" s="16"/>
      <c r="E29" s="16"/>
      <c r="F29" s="16"/>
      <c r="G29" s="16"/>
      <c r="H29" s="16"/>
      <c r="I29" s="15"/>
    </row>
    <row r="30" spans="1:9" x14ac:dyDescent="0.25">
      <c r="A30" s="12"/>
      <c r="B30" s="13"/>
      <c r="C30" s="16"/>
      <c r="D30" s="16"/>
      <c r="E30" s="16"/>
      <c r="F30" s="16"/>
      <c r="G30" s="16"/>
      <c r="H30" s="16"/>
      <c r="I30" s="15"/>
    </row>
    <row r="31" spans="1:9" x14ac:dyDescent="0.25">
      <c r="C31" s="19"/>
      <c r="D31" s="19"/>
      <c r="E31" s="19"/>
      <c r="F31" s="19"/>
      <c r="G31" s="19"/>
      <c r="H31" s="19"/>
      <c r="I31" s="19"/>
    </row>
  </sheetData>
  <mergeCells count="1">
    <mergeCell ref="A1:B1"/>
  </mergeCells>
  <pageMargins left="0.51180555555555496" right="0.51180555555555496" top="0.78749999999999998" bottom="0.78749999999999998" header="0.51180555555555496" footer="0.51180555555555496"/>
  <pageSetup paperSize="9" firstPageNumber="0" orientation="portrait" horizontalDpi="300" verticalDpi="30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Liana</dc:creator>
  <dc:description/>
  <cp:lastModifiedBy>Isac Campos</cp:lastModifiedBy>
  <cp:revision>121</cp:revision>
  <cp:lastPrinted>2018-02-02T12:32:52Z</cp:lastPrinted>
  <dcterms:created xsi:type="dcterms:W3CDTF">2016-12-09T10:12:00Z</dcterms:created>
  <dcterms:modified xsi:type="dcterms:W3CDTF">2021-08-05T20:11:01Z</dcterms:modified>
  <dc:language>pt-BR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