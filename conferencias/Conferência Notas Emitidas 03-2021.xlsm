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<sst xmlns="http://schemas.openxmlformats.org/spreadsheetml/2006/main" count="13" uniqueCount="13">
  <si>
    <t xml:space="preserve">Notas Emitidas</t>
  </si>
  <si>
    <t xml:space="preserve">Mês:</t>
  </si>
  <si>
    <t xml:space="preserve">MARÇO/2021</t>
  </si>
  <si>
    <t xml:space="preserve">Nº Nota</t>
  </si>
  <si>
    <t xml:space="preserve">Data</t>
  </si>
  <si>
    <t xml:space="preserve">Valor Bruto</t>
  </si>
  <si>
    <t xml:space="preserve">Valor ISS 2%</t>
  </si>
  <si>
    <t xml:space="preserve">Valor IRRF 1,2%</t>
  </si>
  <si>
    <t xml:space="preserve">Valor IRRF 1,5%</t>
  </si>
  <si>
    <t xml:space="preserve">Valor IRRF 4,8%</t>
  </si>
  <si>
    <t xml:space="preserve">Valor CSRF 4,65%</t>
  </si>
  <si>
    <t xml:space="preserve">Valor Liquido</t>
  </si>
  <si>
    <t xml:space="preserve"> 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</si>
</sst>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;@"/>
    <numFmt numFmtId="166" formatCode="_-* #,##0.00_-;\-* #,##0.00_-;_-* \-??_-;_-@_-"/>
    <numFmt numFmtId="167" formatCode="@"/>
    <numFmt numFmtId="168" formatCode="_-&quot;R$ &quot;* #,##0.00_-;&quot;-R$ &quot;* #,##0.00_-;_-&quot;R$ &quot;* \-??_-;_-@_-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  <charset val="1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2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2" borderId="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ela1" displayName="Tabela1" ref="A3:I31" headerRowCount="1" totalsRowCount="1" totalsRowShown="1">
  <autoFilter ref="A3:I31"/>
  <tableColumns count="9">
    <tableColumn id="1" name="Nº Nota"/>
    <tableColumn id="2" name="Data"/>
    <tableColumn id="3" name="Valor Bruto"/>
    <tableColumn id="4" name="Valor ISS 2%"/>
    <tableColumn id="5" name="Valor IRRF 1,2%"/>
    <tableColumn id="6" name="Valor IRRF 1,5%"/>
    <tableColumn id="7" name="Valor IRRF 4,8%"/>
    <tableColumn id="8" name="Valor CSRF 4,65%"/>
    <tableColumn id="9" name="Valor Liquid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4" activeCellId="0" sqref="A1:I24"/>
    </sheetView>
  </sheetViews>
  <sheetFormatPr defaultColWidth="9.914062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" width="15.29"/>
    <col collapsed="false" customWidth="true" hidden="false" outlineLevel="0" max="7" min="3" style="2" width="17.71"/>
    <col collapsed="false" customWidth="true" hidden="false" outlineLevel="0" max="8" min="8" style="2" width="20.42"/>
    <col collapsed="false" customWidth="true" hidden="false" outlineLevel="0" max="9" min="9" style="2" width="18.89"/>
  </cols>
  <sheetData>
    <row r="1" customFormat="false" ht="15.75" hidden="false" customHeight="false" outlineLevel="0" collapsed="false">
      <c r="A1" s="3" t="s">
        <v>0</v>
      </c>
      <c r="B1" s="3"/>
      <c r="C1" s="4"/>
      <c r="D1" s="5" t="s">
        <v>1</v>
      </c>
      <c r="E1" s="6" t="s">
        <v>2</v>
      </c>
    </row>
    <row r="2" customFormat="false" ht="15" hidden="false" customHeight="false" outlineLevel="0" collapsed="false">
      <c r="E2" s="7"/>
    </row>
    <row r="3" s="11" customFormat="true" ht="15" hidden="false" customHeight="false" outlineLevel="0" collapsed="false">
      <c r="A3" s="8" t="s">
        <v>3</v>
      </c>
      <c r="B3" s="9" t="s">
        <v>4</v>
      </c>
      <c r="C3" s="10" t="s">
        <v>5</v>
      </c>
      <c r="D3" s="10" t="s">
        <v>6</v>
      </c>
      <c r="E3" s="10" t="s">
        <v>7</v>
      </c>
      <c r="F3" s="10" t="s">
        <v>8</v>
      </c>
      <c r="G3" s="10" t="s">
        <v>9</v>
      </c>
      <c r="H3" s="10" t="s">
        <v>10</v>
      </c>
      <c r="I3" s="10" t="s">
        <v>11</v>
      </c>
    </row>
    <row r="4" customFormat="false" ht="13.8" hidden="false" customHeight="false" outlineLevel="0" collapsed="false">
      <c r="A4" s="12" t="n">
        <v>844</v>
      </c>
      <c r="B4" s="13" t="n">
        <v>44256</v>
      </c>
      <c r="C4" s="14" t="n">
        <v>5455.43</v>
      </c>
      <c r="D4" s="14"/>
      <c r="E4" s="14"/>
      <c r="F4" s="14" t="n">
        <v>81.83</v>
      </c>
      <c r="G4" s="14"/>
      <c r="H4" s="14" t="n">
        <v>253.67</v>
      </c>
      <c r="I4" s="15" t="n">
        <f aca="false">SUM(C4-D4-E4-F4-G4-H4)</f>
        <v>5119.93</v>
      </c>
    </row>
    <row r="5" customFormat="false" ht="13.8" hidden="false" customHeight="false" outlineLevel="0" collapsed="false">
      <c r="A5" s="12" t="n">
        <v>845</v>
      </c>
      <c r="B5" s="13" t="n">
        <v>44257</v>
      </c>
      <c r="C5" s="16" t="n">
        <v>3078.21</v>
      </c>
      <c r="D5" s="16"/>
      <c r="E5" s="16"/>
      <c r="F5" s="16" t="n">
        <v>46.17</v>
      </c>
      <c r="G5" s="16"/>
      <c r="H5" s="16" t="n">
        <v>143.14</v>
      </c>
      <c r="I5" s="15" t="n">
        <f aca="false">SUM(C5-D5-E5-F5-G5-H5)</f>
        <v>2888.9</v>
      </c>
    </row>
    <row r="6" customFormat="false" ht="13.8" hidden="false" customHeight="false" outlineLevel="0" collapsed="false">
      <c r="A6" s="17" t="n">
        <v>846</v>
      </c>
      <c r="B6" s="18" t="n">
        <v>44257</v>
      </c>
      <c r="C6" s="16" t="n">
        <v>1200</v>
      </c>
      <c r="D6" s="16"/>
      <c r="E6" s="16"/>
      <c r="F6" s="16"/>
      <c r="G6" s="16"/>
      <c r="H6" s="16" t="n">
        <v>55.8</v>
      </c>
      <c r="I6" s="15" t="n">
        <f aca="false">SUM(C6-D6-E6-F6-G6-H6)</f>
        <v>1144.2</v>
      </c>
      <c r="M6" s="0" t="s">
        <v>12</v>
      </c>
    </row>
    <row r="7" customFormat="false" ht="13.8" hidden="false" customHeight="false" outlineLevel="0" collapsed="false">
      <c r="A7" s="12" t="n">
        <v>847</v>
      </c>
      <c r="B7" s="13" t="n">
        <v>44258</v>
      </c>
      <c r="C7" s="16" t="n">
        <v>9370</v>
      </c>
      <c r="D7" s="16" t="n">
        <v>187.4</v>
      </c>
      <c r="E7" s="16"/>
      <c r="F7" s="16" t="n">
        <v>140.55</v>
      </c>
      <c r="G7" s="16"/>
      <c r="H7" s="16"/>
      <c r="I7" s="15" t="n">
        <f aca="false">SUM(C7-D7-E7-F7-G7-H7)</f>
        <v>9042.05</v>
      </c>
    </row>
    <row r="8" customFormat="false" ht="13.8" hidden="false" customHeight="false" outlineLevel="0" collapsed="false">
      <c r="A8" s="12" t="n">
        <v>848</v>
      </c>
      <c r="B8" s="13"/>
      <c r="C8" s="16"/>
      <c r="D8" s="16"/>
      <c r="E8" s="16"/>
      <c r="F8" s="16"/>
      <c r="G8" s="16"/>
      <c r="H8" s="16"/>
      <c r="I8" s="15" t="n">
        <f aca="false">SUM(C8-D8-E8-F8-G8-H8)</f>
        <v>0</v>
      </c>
    </row>
    <row r="9" customFormat="false" ht="13.8" hidden="false" customHeight="false" outlineLevel="0" collapsed="false">
      <c r="A9" s="12" t="n">
        <v>849</v>
      </c>
      <c r="B9" s="13" t="n">
        <v>44259</v>
      </c>
      <c r="C9" s="14" t="n">
        <v>8506.73</v>
      </c>
      <c r="D9" s="14" t="n">
        <v>170.13</v>
      </c>
      <c r="E9" s="14"/>
      <c r="F9" s="14" t="n">
        <v>127.6</v>
      </c>
      <c r="G9" s="14"/>
      <c r="H9" s="14"/>
      <c r="I9" s="15" t="n">
        <f aca="false">SUM(C9-D9-E9-F9-G9-H9)</f>
        <v>8209</v>
      </c>
    </row>
    <row r="10" customFormat="false" ht="13.8" hidden="false" customHeight="false" outlineLevel="0" collapsed="false">
      <c r="A10" s="12" t="n">
        <v>850</v>
      </c>
      <c r="B10" s="13" t="n">
        <v>44259</v>
      </c>
      <c r="C10" s="14" t="n">
        <v>50364.62</v>
      </c>
      <c r="D10" s="14" t="n">
        <v>1007.29</v>
      </c>
      <c r="E10" s="14"/>
      <c r="F10" s="14" t="n">
        <v>755.47</v>
      </c>
      <c r="G10" s="14"/>
      <c r="H10" s="14"/>
      <c r="I10" s="15" t="n">
        <f aca="false">SUM(C10-D10-E10-F10-G10-H10)</f>
        <v>48601.86</v>
      </c>
    </row>
    <row r="11" customFormat="false" ht="13.8" hidden="false" customHeight="false" outlineLevel="0" collapsed="false">
      <c r="A11" s="12" t="n">
        <v>851</v>
      </c>
      <c r="B11" s="13" t="n">
        <v>44259</v>
      </c>
      <c r="C11" s="14" t="n">
        <v>15685.87</v>
      </c>
      <c r="D11" s="14" t="n">
        <v>313.72</v>
      </c>
      <c r="E11" s="14"/>
      <c r="F11" s="14" t="n">
        <v>235.29</v>
      </c>
      <c r="G11" s="14"/>
      <c r="H11" s="14"/>
      <c r="I11" s="15" t="n">
        <f aca="false">SUM(C11-D11-E11-F11-G11-H11)</f>
        <v>15136.86</v>
      </c>
    </row>
    <row r="12" customFormat="false" ht="13.8" hidden="false" customHeight="false" outlineLevel="0" collapsed="false">
      <c r="A12" s="12" t="n">
        <v>852</v>
      </c>
      <c r="B12" s="13" t="n">
        <v>44259</v>
      </c>
      <c r="C12" s="14" t="n">
        <v>223794.94</v>
      </c>
      <c r="D12" s="14" t="n">
        <v>4475.9</v>
      </c>
      <c r="E12" s="14"/>
      <c r="F12" s="14" t="n">
        <v>3356.92</v>
      </c>
      <c r="G12" s="14"/>
      <c r="H12" s="14"/>
      <c r="I12" s="15" t="n">
        <f aca="false">SUM(C12-D12-E12-F12-G12-H12)</f>
        <v>215962.12</v>
      </c>
    </row>
    <row r="13" customFormat="false" ht="13.8" hidden="false" customHeight="false" outlineLevel="0" collapsed="false">
      <c r="A13" s="12" t="n">
        <v>853</v>
      </c>
      <c r="B13" s="13" t="n">
        <v>44260</v>
      </c>
      <c r="C13" s="14" t="n">
        <v>190</v>
      </c>
      <c r="D13" s="14"/>
      <c r="E13" s="14"/>
      <c r="F13" s="14"/>
      <c r="G13" s="14"/>
      <c r="H13" s="14"/>
      <c r="I13" s="15" t="n">
        <f aca="false">SUM(C13-D13-E13-F13-G13-H13)</f>
        <v>190</v>
      </c>
    </row>
    <row r="14" customFormat="false" ht="13.8" hidden="false" customHeight="false" outlineLevel="0" collapsed="false">
      <c r="A14" s="12" t="n">
        <v>854</v>
      </c>
      <c r="B14" s="13" t="n">
        <v>44265</v>
      </c>
      <c r="C14" s="14" t="n">
        <v>2750</v>
      </c>
      <c r="D14" s="14"/>
      <c r="E14" s="14"/>
      <c r="F14" s="14" t="n">
        <v>41.25</v>
      </c>
      <c r="G14" s="14"/>
      <c r="H14" s="14" t="n">
        <v>127.88</v>
      </c>
      <c r="I14" s="15" t="n">
        <f aca="false">SUM(C14-D14-E14-F14-G14-H14)</f>
        <v>2580.87</v>
      </c>
    </row>
    <row r="15" customFormat="false" ht="13.8" hidden="false" customHeight="false" outlineLevel="0" collapsed="false">
      <c r="A15" s="12" t="n">
        <v>855</v>
      </c>
      <c r="B15" s="13" t="n">
        <v>44265</v>
      </c>
      <c r="C15" s="14" t="n">
        <v>80</v>
      </c>
      <c r="D15" s="14"/>
      <c r="E15" s="14"/>
      <c r="F15" s="14"/>
      <c r="G15" s="14"/>
      <c r="H15" s="14" t="n">
        <v>3.72</v>
      </c>
      <c r="I15" s="15" t="n">
        <f aca="false">SUM(C15-D15-E15-F15-G15-H15)</f>
        <v>76.28</v>
      </c>
    </row>
    <row r="16" customFormat="false" ht="13.8" hidden="false" customHeight="false" outlineLevel="0" collapsed="false">
      <c r="A16" s="12" t="n">
        <v>856</v>
      </c>
      <c r="B16" s="13" t="n">
        <v>44265</v>
      </c>
      <c r="C16" s="14" t="n">
        <v>566.04</v>
      </c>
      <c r="D16" s="14" t="n">
        <v>11.32</v>
      </c>
      <c r="E16" s="14"/>
      <c r="F16" s="14" t="n">
        <v>8.49</v>
      </c>
      <c r="G16" s="14"/>
      <c r="H16" s="14"/>
      <c r="I16" s="15" t="n">
        <f aca="false">SUM(C16-D16-E16-F16-G16-H16)</f>
        <v>546.23</v>
      </c>
    </row>
    <row r="17" customFormat="false" ht="13.8" hidden="false" customHeight="false" outlineLevel="0" collapsed="false">
      <c r="A17" s="12" t="n">
        <v>857</v>
      </c>
      <c r="B17" s="13" t="n">
        <v>44265</v>
      </c>
      <c r="C17" s="14" t="n">
        <v>2993.96</v>
      </c>
      <c r="D17" s="14" t="n">
        <v>59.88</v>
      </c>
      <c r="E17" s="14"/>
      <c r="F17" s="14" t="n">
        <v>44.91</v>
      </c>
      <c r="G17" s="14"/>
      <c r="H17" s="14"/>
      <c r="I17" s="15" t="n">
        <f aca="false">SUM(C17-D17-E17-F17-G17-H17)</f>
        <v>2889.17</v>
      </c>
    </row>
    <row r="18" customFormat="false" ht="13.8" hidden="false" customHeight="false" outlineLevel="0" collapsed="false">
      <c r="A18" s="12" t="n">
        <v>858</v>
      </c>
      <c r="B18" s="13" t="n">
        <v>44265</v>
      </c>
      <c r="C18" s="14" t="n">
        <v>8128.89</v>
      </c>
      <c r="D18" s="14" t="n">
        <v>162.58</v>
      </c>
      <c r="E18" s="14"/>
      <c r="F18" s="14" t="n">
        <v>121.93</v>
      </c>
      <c r="G18" s="14"/>
      <c r="H18" s="14"/>
      <c r="I18" s="15" t="n">
        <f aca="false">SUM(C18-D18-E18-F18-G18-H18)</f>
        <v>7844.38</v>
      </c>
    </row>
    <row r="19" customFormat="false" ht="13.8" hidden="false" customHeight="false" outlineLevel="0" collapsed="false">
      <c r="A19" s="12" t="n">
        <v>859</v>
      </c>
      <c r="B19" s="13" t="n">
        <v>44265</v>
      </c>
      <c r="C19" s="14" t="n">
        <v>60</v>
      </c>
      <c r="D19" s="14" t="n">
        <v>1.2</v>
      </c>
      <c r="E19" s="14"/>
      <c r="F19" s="14" t="n">
        <v>0.9</v>
      </c>
      <c r="G19" s="14"/>
      <c r="H19" s="14"/>
      <c r="I19" s="15" t="n">
        <f aca="false">SUM(C19-D19-E19-F19-G19-H19)</f>
        <v>57.9</v>
      </c>
    </row>
    <row r="20" customFormat="false" ht="13.8" hidden="false" customHeight="false" outlineLevel="0" collapsed="false">
      <c r="A20" s="12" t="n">
        <v>860</v>
      </c>
      <c r="B20" s="13" t="n">
        <v>44271</v>
      </c>
      <c r="C20" s="14" t="n">
        <v>245</v>
      </c>
      <c r="D20" s="14"/>
      <c r="E20" s="14"/>
      <c r="F20" s="14"/>
      <c r="G20" s="14"/>
      <c r="H20" s="14" t="n">
        <v>11.39</v>
      </c>
      <c r="I20" s="15" t="n">
        <f aca="false">SUM(C20-D20-E20-F20-G20-H20)</f>
        <v>233.61</v>
      </c>
    </row>
    <row r="21" customFormat="false" ht="13.8" hidden="false" customHeight="false" outlineLevel="0" collapsed="false">
      <c r="A21" s="12" t="n">
        <v>861</v>
      </c>
      <c r="B21" s="13" t="n">
        <v>44286</v>
      </c>
      <c r="C21" s="14" t="n">
        <v>44311.47</v>
      </c>
      <c r="D21" s="14" t="n">
        <v>886.22</v>
      </c>
      <c r="E21" s="14"/>
      <c r="F21" s="14" t="n">
        <v>664.67</v>
      </c>
      <c r="G21" s="14"/>
      <c r="H21" s="14" t="n">
        <v>2060.47</v>
      </c>
      <c r="I21" s="15" t="n">
        <f aca="false">SUM(C21-D21-E21-F21-G21-H21)</f>
        <v>40700.11</v>
      </c>
    </row>
    <row r="22" customFormat="false" ht="13.8" hidden="false" customHeight="false" outlineLevel="0" collapsed="false">
      <c r="A22" s="12"/>
      <c r="B22" s="13"/>
      <c r="C22" s="14"/>
      <c r="D22" s="14"/>
      <c r="E22" s="14"/>
      <c r="F22" s="14"/>
      <c r="G22" s="14"/>
      <c r="H22" s="14"/>
      <c r="I22" s="15" t="n">
        <f aca="false">SUM(C22-D22-E22-F22-G22-H22)</f>
        <v>0</v>
      </c>
    </row>
    <row r="23" customFormat="false" ht="13.8" hidden="false" customHeight="false" outlineLevel="0" collapsed="false">
      <c r="A23" s="12"/>
      <c r="B23" s="13"/>
      <c r="C23" s="16"/>
      <c r="D23" s="16"/>
      <c r="E23" s="16"/>
      <c r="F23" s="16"/>
      <c r="G23" s="16"/>
      <c r="H23" s="16"/>
      <c r="I23" s="15"/>
    </row>
    <row r="24" customFormat="false" ht="13.8" hidden="false" customHeight="false" outlineLevel="0" collapsed="false">
      <c r="A24" s="12"/>
      <c r="B24" s="13"/>
      <c r="C24" s="16" t="n">
        <f aca="false">SUBTOTAL(9,C4:C23)</f>
        <v>376781.16</v>
      </c>
      <c r="D24" s="16"/>
      <c r="E24" s="16" t="n">
        <f aca="false">SUBTOTAL(9,E4:E23)</f>
        <v>0</v>
      </c>
      <c r="F24" s="16"/>
      <c r="G24" s="16" t="n">
        <f aca="false">SUBTOTAL(9,G4:G23)</f>
        <v>0</v>
      </c>
      <c r="H24" s="16"/>
      <c r="I24" s="16" t="n">
        <f aca="false">SUBTOTAL(9,I4:I23)</f>
        <v>361223.47</v>
      </c>
    </row>
    <row r="25" customFormat="false" ht="13.8" hidden="false" customHeight="false" outlineLevel="0" collapsed="false">
      <c r="A25" s="12"/>
      <c r="B25" s="13"/>
      <c r="C25" s="16"/>
      <c r="D25" s="16"/>
      <c r="E25" s="16"/>
      <c r="F25" s="16"/>
      <c r="G25" s="16"/>
      <c r="H25" s="16"/>
      <c r="I25" s="15"/>
    </row>
    <row r="26" customFormat="false" ht="13.8" hidden="false" customHeight="false" outlineLevel="0" collapsed="false">
      <c r="A26" s="12"/>
      <c r="B26" s="13"/>
      <c r="C26" s="16"/>
      <c r="D26" s="16"/>
      <c r="E26" s="16"/>
      <c r="F26" s="16"/>
      <c r="G26" s="16"/>
      <c r="H26" s="16"/>
      <c r="I26" s="15"/>
    </row>
    <row r="27" customFormat="false" ht="13.8" hidden="false" customHeight="false" outlineLevel="0" collapsed="false">
      <c r="A27" s="12"/>
      <c r="B27" s="13"/>
      <c r="C27" s="16"/>
      <c r="D27" s="16"/>
      <c r="E27" s="16"/>
      <c r="F27" s="16"/>
      <c r="G27" s="16"/>
      <c r="H27" s="16"/>
      <c r="I27" s="15"/>
    </row>
    <row r="28" customFormat="false" ht="13.8" hidden="false" customHeight="false" outlineLevel="0" collapsed="false">
      <c r="A28" s="12"/>
      <c r="B28" s="13"/>
      <c r="C28" s="16"/>
      <c r="D28" s="16"/>
      <c r="E28" s="16"/>
      <c r="F28" s="16"/>
      <c r="G28" s="16"/>
      <c r="H28" s="16"/>
      <c r="I28" s="15"/>
    </row>
    <row r="29" customFormat="false" ht="13.8" hidden="false" customHeight="false" outlineLevel="0" collapsed="false">
      <c r="A29" s="12"/>
      <c r="B29" s="13"/>
      <c r="C29" s="16"/>
      <c r="D29" s="16"/>
      <c r="E29" s="16"/>
      <c r="F29" s="16"/>
      <c r="G29" s="16"/>
      <c r="H29" s="16"/>
      <c r="I29" s="15"/>
    </row>
    <row r="30" customFormat="false" ht="13.8" hidden="false" customHeight="false" outlineLevel="0" collapsed="false">
      <c r="A30" s="12"/>
      <c r="B30" s="13"/>
      <c r="C30" s="16"/>
      <c r="D30" s="16"/>
      <c r="E30" s="16"/>
      <c r="F30" s="16"/>
      <c r="G30" s="16"/>
      <c r="H30" s="16"/>
      <c r="I30" s="15"/>
    </row>
    <row r="31" customFormat="false" ht="13.8" hidden="false" customHeight="false" outlineLevel="0" collapsed="false">
      <c r="C31" s="19"/>
      <c r="D31" s="19"/>
      <c r="E31" s="19"/>
      <c r="F31" s="19"/>
      <c r="G31" s="19"/>
      <c r="H31" s="19"/>
      <c r="I31" s="1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A1:B1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192</TotalTime>
  <Application>LibreOffice/6.4.3.2$Windows_X86_64 LibreOffice_project/747b5d0ebf89f41c860ec2a39efd7cb15b54f2d8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2016-12-09T10:12:00Z</dcterms:created>
  <dc:creator>Liana</dc:creator>
  <dc:description/>
  <dc:language>pt-BR</dc:language>
  <cp:lastModifiedBy/>
  <cp:lastPrinted>2018-02-02T12:32:52Z</cp:lastPrinted>
  <dcterms:modified xsi:type="dcterms:W3CDTF">2021-03-31T09:29:08Z</dcterms:modified>
  <cp:revision>106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